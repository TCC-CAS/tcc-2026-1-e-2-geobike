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a\Downloads\"/>
    </mc:Choice>
  </mc:AlternateContent>
  <xr:revisionPtr revIDLastSave="0" documentId="13_ncr:1_{76D0E20E-804C-42ED-8159-462CF019D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DeProjeto" sheetId="1" r:id="rId1"/>
  </sheets>
  <definedNames>
    <definedName name="Hoje" localSheetId="0">TODAY()</definedName>
    <definedName name="Início_da_tarefa" localSheetId="0">CronogramaDeProjeto!$E1</definedName>
    <definedName name="Início_do_projeto">CronogramaDeProjeto!$E$3</definedName>
    <definedName name="Progresso_da_tarefa" localSheetId="0">CronogramaDeProjeto!$D1</definedName>
    <definedName name="Semana_de_exibição">CronogramaDeProjeto!$E$4</definedName>
    <definedName name="Término_da_tarefa" localSheetId="0">CronogramaDeProjeto!$F1</definedName>
    <definedName name="_xlnm.Print_Titles" localSheetId="0">CronogramaDeProjeto!$4:$6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 s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J5" i="1" l="1"/>
  <c r="I6" i="1"/>
  <c r="H4" i="1"/>
  <c r="H6" i="1"/>
  <c r="K5" i="1" l="1"/>
  <c r="J6" i="1"/>
  <c r="L5" i="1" l="1"/>
  <c r="K6" i="1"/>
  <c r="M5" i="1" l="1"/>
  <c r="L6" i="1"/>
  <c r="M6" i="1" l="1"/>
  <c r="N5" i="1"/>
  <c r="N6" i="1" l="1"/>
  <c r="O5" i="1"/>
  <c r="O6" i="1" l="1"/>
  <c r="O4" i="1"/>
  <c r="P5" i="1"/>
  <c r="P6" i="1" l="1"/>
  <c r="Q5" i="1"/>
  <c r="Q6" i="1" l="1"/>
  <c r="R5" i="1"/>
  <c r="S5" i="1" l="1"/>
  <c r="R6" i="1"/>
  <c r="S6" i="1" l="1"/>
  <c r="T5" i="1"/>
  <c r="U5" i="1" l="1"/>
  <c r="T6" i="1"/>
  <c r="V5" i="1" l="1"/>
  <c r="U6" i="1"/>
  <c r="W5" i="1" l="1"/>
  <c r="V4" i="1"/>
  <c r="V6" i="1"/>
  <c r="X5" i="1" l="1"/>
  <c r="W6" i="1"/>
  <c r="Y5" i="1" l="1"/>
  <c r="X6" i="1"/>
  <c r="Y6" i="1" l="1"/>
  <c r="Z5" i="1"/>
  <c r="Z6" i="1" l="1"/>
  <c r="AA5" i="1"/>
  <c r="AA6" i="1" l="1"/>
  <c r="AB5" i="1"/>
  <c r="AB6" i="1" l="1"/>
  <c r="AC5" i="1"/>
  <c r="AC6" i="1" l="1"/>
  <c r="AC4" i="1"/>
  <c r="AD5" i="1"/>
  <c r="AD6" i="1" l="1"/>
  <c r="AE5" i="1"/>
  <c r="AF5" i="1" l="1"/>
  <c r="AE6" i="1"/>
  <c r="AG5" i="1" l="1"/>
  <c r="AF6" i="1"/>
  <c r="AH5" i="1" l="1"/>
  <c r="AG6" i="1"/>
  <c r="AI5" i="1" l="1"/>
  <c r="AH6" i="1"/>
  <c r="AJ5" i="1" l="1"/>
  <c r="AI6" i="1"/>
  <c r="AJ4" i="1" l="1"/>
  <c r="AK5" i="1"/>
  <c r="AJ6" i="1"/>
  <c r="AK6" i="1" l="1"/>
  <c r="AL5" i="1"/>
  <c r="AL6" i="1" l="1"/>
  <c r="AM5" i="1"/>
  <c r="AM6" i="1" l="1"/>
  <c r="AN5" i="1"/>
  <c r="AN6" i="1" l="1"/>
  <c r="AO5" i="1"/>
  <c r="AO6" i="1" l="1"/>
  <c r="AP5" i="1"/>
  <c r="AQ5" i="1" l="1"/>
  <c r="AP6" i="1"/>
  <c r="AQ4" i="1" l="1"/>
  <c r="AR5" i="1"/>
  <c r="AQ6" i="1"/>
  <c r="AS5" i="1" l="1"/>
  <c r="AR6" i="1"/>
  <c r="AT5" i="1" l="1"/>
  <c r="AS6" i="1"/>
  <c r="AU5" i="1" l="1"/>
  <c r="AT6" i="1"/>
  <c r="AV5" i="1" l="1"/>
  <c r="AU6" i="1"/>
  <c r="AW5" i="1" l="1"/>
  <c r="AV6" i="1"/>
  <c r="AW6" i="1" l="1"/>
  <c r="AX5" i="1"/>
  <c r="AX6" i="1" l="1"/>
  <c r="AY5" i="1"/>
  <c r="AX4" i="1"/>
  <c r="AY6" i="1" l="1"/>
  <c r="AZ5" i="1"/>
  <c r="AZ6" i="1" l="1"/>
  <c r="BA5" i="1"/>
  <c r="BA6" i="1" l="1"/>
  <c r="BB5" i="1"/>
  <c r="BB6" i="1" l="1"/>
  <c r="BC5" i="1"/>
  <c r="BD5" i="1" l="1"/>
  <c r="BC6" i="1"/>
  <c r="BE5" i="1" l="1"/>
  <c r="BD6" i="1"/>
  <c r="BF5" i="1" l="1"/>
  <c r="BE6" i="1"/>
  <c r="BE4" i="1"/>
  <c r="BG5" i="1" l="1"/>
  <c r="BF6" i="1"/>
  <c r="BH5" i="1" l="1"/>
  <c r="BG6" i="1"/>
  <c r="BI5" i="1" l="1"/>
  <c r="BH6" i="1"/>
  <c r="BI6" i="1" l="1"/>
  <c r="BJ5" i="1"/>
  <c r="BJ6" i="1" l="1"/>
  <c r="BK5" i="1"/>
  <c r="BK6" i="1" l="1"/>
  <c r="BL5" i="1"/>
  <c r="BL6" i="1" l="1"/>
  <c r="BM5" i="1"/>
  <c r="BL4" i="1"/>
  <c r="BM6" i="1" l="1"/>
  <c r="BN5" i="1"/>
  <c r="BN6" i="1" l="1"/>
  <c r="BO5" i="1"/>
  <c r="BP5" i="1" l="1"/>
  <c r="BO6" i="1"/>
  <c r="BQ5" i="1" l="1"/>
  <c r="BP6" i="1"/>
  <c r="BR5" i="1" l="1"/>
  <c r="BQ6" i="1"/>
  <c r="BS5" i="1" l="1"/>
  <c r="BR6" i="1"/>
  <c r="BT5" i="1" l="1"/>
  <c r="BS6" i="1"/>
  <c r="BS4" i="1"/>
  <c r="BT6" i="1" l="1"/>
  <c r="BU5" i="1"/>
  <c r="BU6" i="1" l="1"/>
  <c r="BV5" i="1"/>
  <c r="BV6" i="1" l="1"/>
  <c r="BW5" i="1"/>
  <c r="BW6" i="1" l="1"/>
  <c r="BX5" i="1"/>
  <c r="BX6" i="1" l="1"/>
  <c r="BY5" i="1"/>
  <c r="BY6" i="1" l="1"/>
  <c r="BZ5" i="1"/>
  <c r="CA5" i="1" l="1"/>
  <c r="BZ4" i="1"/>
  <c r="BZ6" i="1"/>
  <c r="CB5" i="1" l="1"/>
  <c r="CA6" i="1"/>
  <c r="CC5" i="1" l="1"/>
  <c r="CB6" i="1"/>
  <c r="CD5" i="1" l="1"/>
  <c r="CC6" i="1"/>
  <c r="CE5" i="1" l="1"/>
  <c r="CD6" i="1"/>
  <c r="CF5" i="1" l="1"/>
  <c r="CE6" i="1"/>
  <c r="CG5" i="1" l="1"/>
  <c r="CF6" i="1"/>
  <c r="CG6" i="1" l="1"/>
  <c r="CH5" i="1"/>
  <c r="CG4" i="1"/>
  <c r="CH6" i="1" l="1"/>
  <c r="CI5" i="1"/>
  <c r="CI6" i="1" l="1"/>
  <c r="CJ5" i="1"/>
  <c r="CJ6" i="1" l="1"/>
  <c r="CK5" i="1"/>
  <c r="CK6" i="1" l="1"/>
  <c r="CL5" i="1"/>
  <c r="CM5" i="1" l="1"/>
  <c r="CL6" i="1"/>
  <c r="CN5" i="1" l="1"/>
  <c r="CM6" i="1"/>
  <c r="CO5" i="1" l="1"/>
  <c r="CN6" i="1"/>
  <c r="CN4" i="1"/>
  <c r="CP5" i="1" l="1"/>
  <c r="CO6" i="1"/>
  <c r="CQ5" i="1" l="1"/>
  <c r="CP6" i="1"/>
  <c r="CR5" i="1" l="1"/>
  <c r="CQ6" i="1"/>
  <c r="CR6" i="1" l="1"/>
  <c r="CS5" i="1"/>
  <c r="CS6" i="1" l="1"/>
  <c r="CT5" i="1"/>
  <c r="CT6" i="1" s="1"/>
</calcChain>
</file>

<file path=xl/sharedStrings.xml><?xml version="1.0" encoding="utf-8"?>
<sst xmlns="http://schemas.openxmlformats.org/spreadsheetml/2006/main" count="71" uniqueCount="50">
  <si>
    <t>Crie um cronograma de projeto nesta planilha.
Digite o título desse projeto na célula B1. 
As informações sobre como usar esta planilha, incluindo instruções para leitores de tela e o autor desta pasta de trabalho, estão na planilha Sobre.
Continue navegando pela coluna A para saber mais.</t>
  </si>
  <si>
    <t>GeoBike - Sistema Web para Aluguel de Bikes</t>
  </si>
  <si>
    <t>Insira o Nome da empresa na célula B2.</t>
  </si>
  <si>
    <t>TCC - BSI</t>
  </si>
  <si>
    <t>Insira o nome do Líder do projeto na célula B3. Insira a data de Início do projeto na célula E3. Início do projeto: o rótulo está na célula C3.</t>
  </si>
  <si>
    <t>Líder: Paulo Henrique Alves Santana</t>
  </si>
  <si>
    <t>Início do projeto:</t>
  </si>
  <si>
    <t>A semana de exibição na célula E4 representa a semana inicial a ser exibida no cronograma do projeto na célula I4. A data de início do projeto é considerada Semana 1. Para alterar a semana de exibição, basta inserir um novo número da semana na célula E4.
A data inicial para cada semana, começando com a semana de exibição na célula E4, começa na célula I4 e é calculada automaticamente. Há 8 semanas representadas nesse modo de exibição que vão da célula I4 a célula BF4.
Você não deve modificar essas células.
Semana de exibição: o rótulo está na célula C4.</t>
  </si>
  <si>
    <t>Semana de exibição:</t>
  </si>
  <si>
    <t>As células I5 a BL5 contêm o número de dias da semana representado no bloco de células acima de cada célula de data e são calculadas automaticamente.
Você não deve modificar essas células.
A data de hoje é contornada em vermelho (hex #AD3815) a partir da data de hoje na linha 5, passando pela coluna de data inteira até o final do cronograma do projeto.</t>
  </si>
  <si>
    <t>Esta linha inclui cabeçalhos do cronograma do projeto que estão abaixo deles. 
Navegue de B6 a BL6 para ouvir o conteúdo. A primeira letra de cada dia da semana da data acima daquele cabeçalho começa na célula I6 e continua até a célula BL6.
Todo o gráfico de linha do tempo de projeto é gerado automaticamente com base nas datas de início e término inseridas, usando os formatos condicionais.
Não modifique o conteúdo nas células dentro das colunas após a coluna I, começando na célula I7.</t>
  </si>
  <si>
    <t>TAREFA</t>
  </si>
  <si>
    <t>ATRIBUÍDO
PARA</t>
  </si>
  <si>
    <t>PROGRESSO</t>
  </si>
  <si>
    <t>INÍCIO</t>
  </si>
  <si>
    <t>TÉRMINO</t>
  </si>
  <si>
    <t>DIAS</t>
  </si>
  <si>
    <t xml:space="preserve">Não exclua esta linha. Esta linha ficará oculta para preservar uma fórmula usada para realçar o dia atual no cronograma do projeto. </t>
  </si>
  <si>
    <t>Escrita dos objetivos geral e específicos</t>
  </si>
  <si>
    <t>Paulo Henrique</t>
  </si>
  <si>
    <t>Escrita da delimitação e relevância do estudo</t>
  </si>
  <si>
    <t>Maria Érica</t>
  </si>
  <si>
    <t>Escrita da metodologia e estrutura do documento</t>
  </si>
  <si>
    <t>Luisa Vitória</t>
  </si>
  <si>
    <t>Entrega 1 – Cap. 1: Introdução</t>
  </si>
  <si>
    <t>Todos</t>
  </si>
  <si>
    <t>Pesquisa sobre sistemas de aluguel de bikes existentes</t>
  </si>
  <si>
    <t>Pesquisa sobre tecnologias web e APIs de geolocalização</t>
  </si>
  <si>
    <t>Escrita e revisão do Cap. 2</t>
  </si>
  <si>
    <t>Entrega 2 – Cap. 2: Referencial Teórico</t>
  </si>
  <si>
    <t>Descrição da aplicação e regras de negócio</t>
  </si>
  <si>
    <t>Levantamento de requisitos funcionais e não funcionais</t>
  </si>
  <si>
    <t>Elaboração dos casos de uso e diagrama de caso de uso</t>
  </si>
  <si>
    <t>Elaboração dos diagramas de classes UML</t>
  </si>
  <si>
    <t>Protótipo das telas (wireframe) no Figma</t>
  </si>
  <si>
    <t>Documentação da infraestrutura e acessibilidade</t>
  </si>
  <si>
    <t>Escrita e revisão do Cap. 3</t>
  </si>
  <si>
    <t>Fase Final: Considerações, Revisão e Entrega</t>
  </si>
  <si>
    <t>Escrita do Resumo e Abstract</t>
  </si>
  <si>
    <t>Escrita das Considerações Finais</t>
  </si>
  <si>
    <t>Revisão geral da documentação e formatação ABNT</t>
  </si>
  <si>
    <t>Elaboração dos slides de apresentação</t>
  </si>
  <si>
    <t>Entrega Final – TCC 1</t>
  </si>
  <si>
    <t xml:space="preserve"> </t>
  </si>
  <si>
    <t>Pesquisa sobre economia compartilhada e mobilidade</t>
  </si>
  <si>
    <t>Cap. 1: Introdução e Planejamento</t>
  </si>
  <si>
    <t>Cap. 2: Modelagem e Pesquisa</t>
  </si>
  <si>
    <t>Refinamento das referências bibliográficas finais</t>
  </si>
  <si>
    <t>Cap. 3: Definição Técnica</t>
  </si>
  <si>
    <t>Entrega 3 – Cap. 3: Fase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</si>
</sst>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/m/yy;@"/>
    <numFmt numFmtId="165" formatCode="d"/>
    <numFmt numFmtId="166" formatCode="d\-mmm\-yyyy"/>
    <numFmt numFmtId="167" formatCode="ddd\,\ dd/mm/yyyy"/>
  </numFmts>
  <fonts count="25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5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sz val="30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25"/>
      <name val="Calibri"/>
      <family val="2"/>
      <scheme val="minor"/>
    </font>
    <font>
      <b/>
      <sz val="45"/>
      <color theme="1"/>
      <name val="Calibri"/>
      <family val="2"/>
      <scheme val="minor"/>
    </font>
    <font>
      <sz val="40"/>
      <name val="Calibri"/>
      <family val="2"/>
      <scheme val="minor"/>
    </font>
    <font>
      <b/>
      <sz val="3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</fills>
  <borders count="13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2">
    <xf numFmtId="0" fontId="0" fillId="0" borderId="0"/>
    <xf numFmtId="0" fontId="3" fillId="0" borderId="0">
      <alignment vertical="top"/>
      <protection locked="0"/>
    </xf>
    <xf numFmtId="9" fontId="5" fillId="0" borderId="0"/>
    <xf numFmtId="0" fontId="8" fillId="0" borderId="0"/>
    <xf numFmtId="0" fontId="7" fillId="0" borderId="0"/>
    <xf numFmtId="0" fontId="6" fillId="0" borderId="0"/>
    <xf numFmtId="0" fontId="6" fillId="0" borderId="0">
      <alignment vertical="top"/>
    </xf>
    <xf numFmtId="0" fontId="5" fillId="0" borderId="0">
      <alignment horizontal="right" indent="1"/>
    </xf>
    <xf numFmtId="167" fontId="5" fillId="0" borderId="3">
      <alignment horizontal="center" vertical="center"/>
    </xf>
    <xf numFmtId="164" fontId="5" fillId="0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left" vertical="center" indent="2"/>
    </xf>
  </cellStyleXfs>
  <cellXfs count="7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3"/>
    <xf numFmtId="0" fontId="8" fillId="0" borderId="0" xfId="3" applyAlignment="1">
      <alignment wrapText="1"/>
    </xf>
    <xf numFmtId="0" fontId="0" fillId="0" borderId="0" xfId="0" applyAlignment="1">
      <alignment wrapText="1"/>
    </xf>
    <xf numFmtId="0" fontId="7" fillId="0" borderId="0" xfId="4" applyAlignment="1">
      <alignment horizontal="left"/>
    </xf>
    <xf numFmtId="0" fontId="6" fillId="0" borderId="0" xfId="5"/>
    <xf numFmtId="0" fontId="0" fillId="0" borderId="10" xfId="0" applyBorder="1"/>
    <xf numFmtId="0" fontId="9" fillId="0" borderId="0" xfId="0" applyFont="1"/>
    <xf numFmtId="0" fontId="10" fillId="0" borderId="0" xfId="1" applyFont="1" applyProtection="1">
      <alignment vertical="top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3" applyFont="1" applyAlignment="1">
      <alignment wrapText="1"/>
    </xf>
    <xf numFmtId="0" fontId="13" fillId="12" borderId="1" xfId="0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shrinkToFit="1"/>
    </xf>
    <xf numFmtId="0" fontId="14" fillId="0" borderId="0" xfId="0" applyFont="1"/>
    <xf numFmtId="0" fontId="15" fillId="0" borderId="0" xfId="0" applyFont="1"/>
    <xf numFmtId="0" fontId="15" fillId="0" borderId="3" xfId="0" applyFont="1" applyBorder="1" applyAlignment="1">
      <alignment horizontal="center" vertical="center"/>
    </xf>
    <xf numFmtId="0" fontId="17" fillId="0" borderId="0" xfId="6" applyFont="1">
      <alignment vertical="top"/>
    </xf>
    <xf numFmtId="9" fontId="19" fillId="7" borderId="2" xfId="2" applyFont="1" applyFill="1" applyBorder="1" applyAlignment="1">
      <alignment horizontal="center" vertical="center"/>
    </xf>
    <xf numFmtId="9" fontId="19" fillId="2" borderId="2" xfId="2" applyFont="1" applyFill="1" applyBorder="1" applyAlignment="1">
      <alignment horizontal="center" vertical="center"/>
    </xf>
    <xf numFmtId="9" fontId="19" fillId="8" borderId="2" xfId="2" applyFont="1" applyFill="1" applyBorder="1" applyAlignment="1">
      <alignment horizontal="center" vertical="center"/>
    </xf>
    <xf numFmtId="9" fontId="19" fillId="3" borderId="2" xfId="2" applyFont="1" applyFill="1" applyBorder="1" applyAlignment="1">
      <alignment horizontal="center" vertical="center"/>
    </xf>
    <xf numFmtId="9" fontId="19" fillId="5" borderId="2" xfId="2" applyFont="1" applyFill="1" applyBorder="1" applyAlignment="1">
      <alignment horizontal="center" vertical="center"/>
    </xf>
    <xf numFmtId="9" fontId="19" fillId="10" borderId="2" xfId="2" applyFont="1" applyFill="1" applyBorder="1" applyAlignment="1">
      <alignment horizontal="center" vertical="center"/>
    </xf>
    <xf numFmtId="9" fontId="19" fillId="4" borderId="2" xfId="2" applyFont="1" applyFill="1" applyBorder="1" applyAlignment="1">
      <alignment horizontal="center" vertical="center"/>
    </xf>
    <xf numFmtId="9" fontId="19" fillId="9" borderId="2" xfId="2" applyFont="1" applyFill="1" applyBorder="1" applyAlignment="1">
      <alignment horizontal="center" vertical="center"/>
    </xf>
    <xf numFmtId="0" fontId="16" fillId="0" borderId="0" xfId="0" applyFont="1"/>
    <xf numFmtId="0" fontId="20" fillId="12" borderId="1" xfId="0" applyFont="1" applyFill="1" applyBorder="1" applyAlignment="1">
      <alignment horizontal="left" vertical="center" indent="1"/>
    </xf>
    <xf numFmtId="0" fontId="20" fillId="12" borderId="1" xfId="0" applyFont="1" applyFill="1" applyBorder="1" applyAlignment="1">
      <alignment horizontal="center" vertical="center" wrapText="1"/>
    </xf>
    <xf numFmtId="165" fontId="21" fillId="6" borderId="6" xfId="0" applyNumberFormat="1" applyFont="1" applyFill="1" applyBorder="1" applyAlignment="1">
      <alignment horizontal="center" vertical="center"/>
    </xf>
    <xf numFmtId="165" fontId="21" fillId="6" borderId="0" xfId="0" applyNumberFormat="1" applyFont="1" applyFill="1" applyAlignment="1">
      <alignment horizontal="center" vertical="center"/>
    </xf>
    <xf numFmtId="165" fontId="21" fillId="6" borderId="7" xfId="0" applyNumberFormat="1" applyFont="1" applyFill="1" applyBorder="1" applyAlignment="1">
      <alignment horizontal="center" vertical="center"/>
    </xf>
    <xf numFmtId="0" fontId="15" fillId="0" borderId="7" xfId="7" applyFont="1" applyBorder="1">
      <alignment horizontal="right" indent="1"/>
    </xf>
    <xf numFmtId="0" fontId="15" fillId="0" borderId="7" xfId="0" applyFont="1" applyBorder="1"/>
    <xf numFmtId="167" fontId="15" fillId="0" borderId="3" xfId="8" applyFont="1">
      <alignment horizontal="center" vertical="center"/>
    </xf>
    <xf numFmtId="0" fontId="15" fillId="0" borderId="11" xfId="0" applyFont="1" applyBorder="1"/>
    <xf numFmtId="0" fontId="22" fillId="7" borderId="2" xfId="0" applyFont="1" applyFill="1" applyBorder="1" applyAlignment="1">
      <alignment horizontal="left" vertical="center" indent="1"/>
    </xf>
    <xf numFmtId="0" fontId="22" fillId="2" borderId="2" xfId="11" applyFont="1" applyFill="1">
      <alignment horizontal="left" vertical="center" indent="2"/>
    </xf>
    <xf numFmtId="0" fontId="22" fillId="8" borderId="2" xfId="0" applyFont="1" applyFill="1" applyBorder="1" applyAlignment="1">
      <alignment horizontal="left" vertical="center" indent="1"/>
    </xf>
    <xf numFmtId="0" fontId="22" fillId="3" borderId="2" xfId="11" applyFont="1" applyFill="1">
      <alignment horizontal="left" vertical="center" indent="2"/>
    </xf>
    <xf numFmtId="0" fontId="22" fillId="5" borderId="2" xfId="0" applyFont="1" applyFill="1" applyBorder="1" applyAlignment="1">
      <alignment horizontal="left" vertical="center" indent="1"/>
    </xf>
    <xf numFmtId="0" fontId="22" fillId="10" borderId="2" xfId="11" applyFont="1" applyFill="1">
      <alignment horizontal="left" vertical="center" indent="2"/>
    </xf>
    <xf numFmtId="0" fontId="22" fillId="4" borderId="2" xfId="0" applyFont="1" applyFill="1" applyBorder="1" applyAlignment="1">
      <alignment horizontal="left" vertical="center" indent="1"/>
    </xf>
    <xf numFmtId="0" fontId="22" fillId="9" borderId="2" xfId="11" applyFont="1" applyFill="1">
      <alignment horizontal="left" vertical="center" indent="2"/>
    </xf>
    <xf numFmtId="0" fontId="18" fillId="7" borderId="2" xfId="10" applyFont="1" applyFill="1">
      <alignment horizontal="center" vertical="center"/>
    </xf>
    <xf numFmtId="0" fontId="18" fillId="2" borderId="2" xfId="10" applyFont="1" applyFill="1">
      <alignment horizontal="center" vertical="center"/>
    </xf>
    <xf numFmtId="0" fontId="18" fillId="8" borderId="2" xfId="10" applyFont="1" applyFill="1">
      <alignment horizontal="center" vertical="center"/>
    </xf>
    <xf numFmtId="0" fontId="18" fillId="3" borderId="2" xfId="10" applyFont="1" applyFill="1">
      <alignment horizontal="center" vertical="center"/>
    </xf>
    <xf numFmtId="0" fontId="18" fillId="5" borderId="2" xfId="10" applyFont="1" applyFill="1">
      <alignment horizontal="center" vertical="center"/>
    </xf>
    <xf numFmtId="0" fontId="18" fillId="10" borderId="2" xfId="10" applyFont="1" applyFill="1">
      <alignment horizontal="center" vertical="center"/>
    </xf>
    <xf numFmtId="0" fontId="18" fillId="4" borderId="2" xfId="10" applyFont="1" applyFill="1">
      <alignment horizontal="center" vertical="center"/>
    </xf>
    <xf numFmtId="0" fontId="18" fillId="9" borderId="2" xfId="10" applyFont="1" applyFill="1">
      <alignment horizontal="center" vertical="center"/>
    </xf>
    <xf numFmtId="164" fontId="18" fillId="7" borderId="2" xfId="0" applyNumberFormat="1" applyFont="1" applyFill="1" applyBorder="1" applyAlignment="1">
      <alignment horizontal="center" vertical="center"/>
    </xf>
    <xf numFmtId="164" fontId="23" fillId="7" borderId="2" xfId="0" applyNumberFormat="1" applyFont="1" applyFill="1" applyBorder="1" applyAlignment="1">
      <alignment horizontal="center" vertical="center"/>
    </xf>
    <xf numFmtId="164" fontId="18" fillId="2" borderId="2" xfId="9" applyFont="1" applyFill="1">
      <alignment horizontal="center" vertical="center"/>
    </xf>
    <xf numFmtId="164" fontId="18" fillId="8" borderId="2" xfId="0" applyNumberFormat="1" applyFont="1" applyFill="1" applyBorder="1" applyAlignment="1">
      <alignment horizontal="center" vertical="center"/>
    </xf>
    <xf numFmtId="164" fontId="23" fillId="8" borderId="2" xfId="0" applyNumberFormat="1" applyFont="1" applyFill="1" applyBorder="1" applyAlignment="1">
      <alignment horizontal="center" vertical="center"/>
    </xf>
    <xf numFmtId="164" fontId="18" fillId="3" borderId="2" xfId="9" applyFont="1" applyFill="1">
      <alignment horizontal="center" vertical="center"/>
    </xf>
    <xf numFmtId="164" fontId="18" fillId="5" borderId="2" xfId="0" applyNumberFormat="1" applyFont="1" applyFill="1" applyBorder="1" applyAlignment="1">
      <alignment horizontal="center" vertical="center"/>
    </xf>
    <xf numFmtId="164" fontId="23" fillId="5" borderId="2" xfId="0" applyNumberFormat="1" applyFont="1" applyFill="1" applyBorder="1" applyAlignment="1">
      <alignment horizontal="center" vertical="center"/>
    </xf>
    <xf numFmtId="164" fontId="18" fillId="10" borderId="2" xfId="9" applyFont="1" applyFill="1">
      <alignment horizontal="center" vertical="center"/>
    </xf>
    <xf numFmtId="164" fontId="18" fillId="4" borderId="2" xfId="0" applyNumberFormat="1" applyFont="1" applyFill="1" applyBorder="1" applyAlignment="1">
      <alignment horizontal="center" vertical="center"/>
    </xf>
    <xf numFmtId="164" fontId="23" fillId="4" borderId="2" xfId="0" applyNumberFormat="1" applyFont="1" applyFill="1" applyBorder="1" applyAlignment="1">
      <alignment horizontal="center" vertical="center"/>
    </xf>
    <xf numFmtId="164" fontId="18" fillId="9" borderId="2" xfId="9" applyFont="1" applyFill="1">
      <alignment horizontal="center" vertical="center"/>
    </xf>
    <xf numFmtId="166" fontId="24" fillId="6" borderId="12" xfId="0" applyNumberFormat="1" applyFont="1" applyFill="1" applyBorder="1" applyAlignment="1">
      <alignment horizontal="left" vertical="center" wrapText="1" indent="1"/>
    </xf>
    <xf numFmtId="0" fontId="24" fillId="0" borderId="1" xfId="0" applyFont="1" applyBorder="1"/>
    <xf numFmtId="0" fontId="24" fillId="0" borderId="5" xfId="0" applyFont="1" applyBorder="1"/>
    <xf numFmtId="166" fontId="24" fillId="6" borderId="4" xfId="0" applyNumberFormat="1" applyFont="1" applyFill="1" applyBorder="1" applyAlignment="1">
      <alignment horizontal="left" vertical="center" wrapText="1" indent="1"/>
    </xf>
  </cellXfs>
  <cellStyles count="12">
    <cellStyle name="Data" xfId="9" xr:uid="{00000000-0005-0000-0000-00000A000000}"/>
    <cellStyle name="Hiperlink" xfId="1" builtinId="8"/>
    <cellStyle name="Início do Projeto" xfId="8" xr:uid="{00000000-0005-0000-0000-000009000000}"/>
    <cellStyle name="Nome" xfId="10" xr:uid="{00000000-0005-0000-0000-00000B000000}"/>
    <cellStyle name="Normal" xfId="0" builtinId="0"/>
    <cellStyle name="Porcentagem" xfId="2" builtinId="5"/>
    <cellStyle name="Tarefa" xfId="11" xr:uid="{00000000-0005-0000-0000-00000C000000}"/>
    <cellStyle name="Título" xfId="4" builtinId="15"/>
    <cellStyle name="Título 1" xfId="5" builtinId="16"/>
    <cellStyle name="Título 2" xfId="6" builtinId="17"/>
    <cellStyle name="Título 3" xfId="7" builtinId="18"/>
    <cellStyle name="zTextoOculto" xfId="3" xr:uid="{00000000-0005-0000-0000-000003000000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T40"/>
  <sheetViews>
    <sheetView showGridLines="0" tabSelected="1" showRuler="0" zoomScale="25" zoomScaleNormal="25" zoomScalePageLayoutView="70" workbookViewId="0">
      <pane ySplit="6" topLeftCell="A18" activePane="bottomLeft" state="frozen"/>
      <selection pane="bottomLeft" activeCell="B4" sqref="B4:CT34"/>
    </sheetView>
  </sheetViews>
  <sheetFormatPr defaultRowHeight="30" customHeight="1" x14ac:dyDescent="0.3"/>
  <cols>
    <col min="1" max="1" width="2.6640625" style="9" customWidth="1"/>
    <col min="2" max="2" width="202.5546875" customWidth="1"/>
    <col min="3" max="3" width="54.5546875" customWidth="1"/>
    <col min="4" max="4" width="33.5546875" customWidth="1"/>
    <col min="5" max="5" width="30.77734375" style="5" bestFit="1" customWidth="1"/>
    <col min="6" max="6" width="30.77734375" bestFit="1" customWidth="1"/>
    <col min="7" max="7" width="4.88671875" hidden="1" customWidth="1"/>
    <col min="8" max="11" width="7.33203125" bestFit="1" customWidth="1"/>
    <col min="12" max="12" width="9.109375" customWidth="1"/>
    <col min="13" max="13" width="5.33203125" hidden="1" customWidth="1"/>
    <col min="14" max="14" width="7.33203125" hidden="1" customWidth="1"/>
    <col min="15" max="18" width="7.33203125" bestFit="1" customWidth="1"/>
    <col min="19" max="19" width="11.109375" customWidth="1"/>
    <col min="20" max="20" width="7.33203125" hidden="1" customWidth="1"/>
    <col min="21" max="21" width="4.88671875" hidden="1" customWidth="1"/>
    <col min="22" max="25" width="4.88671875" bestFit="1" customWidth="1"/>
    <col min="26" max="26" width="3.5546875" customWidth="1"/>
    <col min="27" max="27" width="4.88671875" bestFit="1" customWidth="1"/>
    <col min="28" max="28" width="13" customWidth="1"/>
    <col min="29" max="29" width="4.88671875" bestFit="1" customWidth="1"/>
    <col min="30" max="32" width="7.33203125" bestFit="1" customWidth="1"/>
    <col min="33" max="33" width="8.6640625" customWidth="1"/>
    <col min="34" max="34" width="7.33203125" hidden="1" customWidth="1"/>
    <col min="35" max="35" width="0.88671875" customWidth="1"/>
    <col min="36" max="39" width="7.33203125" bestFit="1" customWidth="1"/>
    <col min="40" max="40" width="10.88671875" customWidth="1"/>
    <col min="41" max="42" width="7.33203125" hidden="1" customWidth="1"/>
    <col min="43" max="45" width="7.33203125" bestFit="1" customWidth="1"/>
    <col min="46" max="46" width="7.5546875" customWidth="1"/>
    <col min="47" max="47" width="7.33203125" hidden="1" customWidth="1"/>
    <col min="48" max="48" width="1.77734375" hidden="1" customWidth="1"/>
    <col min="49" max="49" width="9.44140625" customWidth="1"/>
    <col min="50" max="51" width="7.33203125" bestFit="1" customWidth="1"/>
    <col min="52" max="55" width="4.88671875" bestFit="1" customWidth="1"/>
    <col min="56" max="56" width="4.88671875" customWidth="1"/>
    <col min="57" max="60" width="4.88671875" bestFit="1" customWidth="1"/>
    <col min="61" max="61" width="7.33203125" bestFit="1" customWidth="1"/>
    <col min="62" max="62" width="5.77734375" customWidth="1"/>
    <col min="63" max="63" width="2.6640625" customWidth="1"/>
    <col min="64" max="67" width="7.33203125" bestFit="1" customWidth="1"/>
    <col min="68" max="68" width="6.88671875" customWidth="1"/>
    <col min="69" max="70" width="7.33203125" hidden="1" customWidth="1"/>
    <col min="71" max="74" width="7.33203125" bestFit="1" customWidth="1"/>
    <col min="75" max="75" width="4.21875" customWidth="1"/>
    <col min="76" max="76" width="5.33203125" hidden="1" customWidth="1"/>
    <col min="77" max="77" width="1.77734375" customWidth="1"/>
    <col min="78" max="81" width="7.33203125" bestFit="1" customWidth="1"/>
    <col min="82" max="82" width="4.88671875" bestFit="1" customWidth="1"/>
    <col min="83" max="83" width="0.88671875" customWidth="1"/>
    <col min="84" max="84" width="1.77734375" hidden="1" customWidth="1"/>
    <col min="85" max="90" width="4.88671875" bestFit="1" customWidth="1"/>
    <col min="91" max="91" width="5.5546875" customWidth="1"/>
    <col min="92" max="95" width="7.33203125" bestFit="1" customWidth="1"/>
    <col min="96" max="96" width="4.21875" customWidth="1"/>
    <col min="97" max="97" width="7.33203125" hidden="1" customWidth="1"/>
    <col min="98" max="98" width="7.21875" bestFit="1" customWidth="1"/>
  </cols>
  <sheetData>
    <row r="1" spans="1:98" ht="30" customHeight="1" x14ac:dyDescent="0.55000000000000004">
      <c r="A1" s="10" t="s">
        <v>0</v>
      </c>
      <c r="B1" s="12" t="s">
        <v>1</v>
      </c>
      <c r="C1" s="1"/>
      <c r="D1" s="2"/>
      <c r="E1" s="4"/>
      <c r="F1" s="8"/>
      <c r="G1" s="2"/>
      <c r="H1" s="15"/>
      <c r="AM1" t="s">
        <v>43</v>
      </c>
    </row>
    <row r="2" spans="1:98" ht="30" customHeight="1" x14ac:dyDescent="0.35">
      <c r="A2" s="9" t="s">
        <v>2</v>
      </c>
      <c r="B2" s="13" t="s">
        <v>3</v>
      </c>
      <c r="H2" s="16"/>
    </row>
    <row r="3" spans="1:98" ht="37.799999999999997" customHeight="1" x14ac:dyDescent="0.5">
      <c r="A3" s="9" t="s">
        <v>4</v>
      </c>
      <c r="B3" s="25" t="s">
        <v>5</v>
      </c>
      <c r="C3" s="40" t="s">
        <v>6</v>
      </c>
      <c r="D3" s="41"/>
      <c r="E3" s="42">
        <v>46068</v>
      </c>
      <c r="F3" s="43"/>
    </row>
    <row r="4" spans="1:98" ht="43.8" customHeight="1" x14ac:dyDescent="0.85">
      <c r="A4" s="10" t="s">
        <v>7</v>
      </c>
      <c r="B4" t="s">
        <v>43</v>
      </c>
      <c r="C4" s="40" t="s">
        <v>8</v>
      </c>
      <c r="D4" s="41"/>
      <c r="E4" s="24">
        <v>1</v>
      </c>
      <c r="H4" s="72">
        <f>H5</f>
        <v>46069</v>
      </c>
      <c r="I4" s="73"/>
      <c r="J4" s="73"/>
      <c r="K4" s="73"/>
      <c r="L4" s="73"/>
      <c r="M4" s="73"/>
      <c r="N4" s="74"/>
      <c r="O4" s="72">
        <f>O5</f>
        <v>46076</v>
      </c>
      <c r="P4" s="73"/>
      <c r="Q4" s="73"/>
      <c r="R4" s="73"/>
      <c r="S4" s="73"/>
      <c r="T4" s="73"/>
      <c r="U4" s="74"/>
      <c r="V4" s="72">
        <f>V5</f>
        <v>46083</v>
      </c>
      <c r="W4" s="73"/>
      <c r="X4" s="73"/>
      <c r="Y4" s="73"/>
      <c r="Z4" s="73"/>
      <c r="AA4" s="73"/>
      <c r="AB4" s="74"/>
      <c r="AC4" s="72">
        <f>AC5</f>
        <v>46090</v>
      </c>
      <c r="AD4" s="73"/>
      <c r="AE4" s="73"/>
      <c r="AF4" s="73"/>
      <c r="AG4" s="73"/>
      <c r="AH4" s="73"/>
      <c r="AI4" s="74"/>
      <c r="AJ4" s="72">
        <f>AJ5</f>
        <v>46097</v>
      </c>
      <c r="AK4" s="73"/>
      <c r="AL4" s="73"/>
      <c r="AM4" s="73"/>
      <c r="AN4" s="73"/>
      <c r="AO4" s="73"/>
      <c r="AP4" s="74"/>
      <c r="AQ4" s="72">
        <f>AQ5</f>
        <v>46104</v>
      </c>
      <c r="AR4" s="73"/>
      <c r="AS4" s="73"/>
      <c r="AT4" s="73"/>
      <c r="AU4" s="73"/>
      <c r="AV4" s="73"/>
      <c r="AW4" s="74"/>
      <c r="AX4" s="72">
        <f>AX5</f>
        <v>46111</v>
      </c>
      <c r="AY4" s="73"/>
      <c r="AZ4" s="73"/>
      <c r="BA4" s="73"/>
      <c r="BB4" s="73"/>
      <c r="BC4" s="73"/>
      <c r="BD4" s="74"/>
      <c r="BE4" s="72">
        <f>BE5</f>
        <v>46118</v>
      </c>
      <c r="BF4" s="73"/>
      <c r="BG4" s="73"/>
      <c r="BH4" s="73"/>
      <c r="BI4" s="73"/>
      <c r="BJ4" s="73"/>
      <c r="BK4" s="74"/>
      <c r="BL4" s="75">
        <f>BL5</f>
        <v>46125</v>
      </c>
      <c r="BM4" s="73"/>
      <c r="BN4" s="73"/>
      <c r="BO4" s="73"/>
      <c r="BP4" s="73"/>
      <c r="BQ4" s="73"/>
      <c r="BR4" s="73"/>
      <c r="BS4" s="75">
        <f>BS5</f>
        <v>46132</v>
      </c>
      <c r="BT4" s="73"/>
      <c r="BU4" s="73"/>
      <c r="BV4" s="73"/>
      <c r="BW4" s="73"/>
      <c r="BX4" s="73"/>
      <c r="BY4" s="73"/>
      <c r="BZ4" s="75">
        <f>BZ5</f>
        <v>46139</v>
      </c>
      <c r="CA4" s="73"/>
      <c r="CB4" s="73"/>
      <c r="CC4" s="73"/>
      <c r="CD4" s="73"/>
      <c r="CE4" s="73"/>
      <c r="CF4" s="73"/>
      <c r="CG4" s="75">
        <f>CG5</f>
        <v>46146</v>
      </c>
      <c r="CH4" s="73"/>
      <c r="CI4" s="73"/>
      <c r="CJ4" s="73"/>
      <c r="CK4" s="73"/>
      <c r="CL4" s="73"/>
      <c r="CM4" s="73"/>
      <c r="CN4" s="75">
        <f>CN5</f>
        <v>46153</v>
      </c>
      <c r="CO4" s="73"/>
      <c r="CP4" s="73"/>
      <c r="CQ4" s="73"/>
      <c r="CR4" s="73"/>
      <c r="CS4" s="73"/>
      <c r="CT4" s="73"/>
    </row>
    <row r="5" spans="1:98" ht="43.8" customHeight="1" x14ac:dyDescent="0.3">
      <c r="A5" s="10" t="s">
        <v>9</v>
      </c>
      <c r="B5" s="14"/>
      <c r="C5" s="14"/>
      <c r="D5" s="14"/>
      <c r="E5" s="14"/>
      <c r="F5" s="14"/>
      <c r="H5" s="37">
        <f>Início_do_projeto-WEEKDAY(Início_do_projeto,1)+2+7*(Semana_de_exibição-1)</f>
        <v>46069</v>
      </c>
      <c r="I5" s="38">
        <f t="shared" ref="I5:AN5" si="0">H5+1</f>
        <v>46070</v>
      </c>
      <c r="J5" s="38">
        <f t="shared" si="0"/>
        <v>46071</v>
      </c>
      <c r="K5" s="38">
        <f t="shared" si="0"/>
        <v>46072</v>
      </c>
      <c r="L5" s="38">
        <f t="shared" si="0"/>
        <v>46073</v>
      </c>
      <c r="M5" s="38">
        <f t="shared" si="0"/>
        <v>46074</v>
      </c>
      <c r="N5" s="39">
        <f t="shared" si="0"/>
        <v>46075</v>
      </c>
      <c r="O5" s="37">
        <f t="shared" si="0"/>
        <v>46076</v>
      </c>
      <c r="P5" s="38">
        <f t="shared" si="0"/>
        <v>46077</v>
      </c>
      <c r="Q5" s="38">
        <f t="shared" si="0"/>
        <v>46078</v>
      </c>
      <c r="R5" s="38">
        <f t="shared" si="0"/>
        <v>46079</v>
      </c>
      <c r="S5" s="38">
        <f t="shared" si="0"/>
        <v>46080</v>
      </c>
      <c r="T5" s="38">
        <f t="shared" si="0"/>
        <v>46081</v>
      </c>
      <c r="U5" s="39">
        <f t="shared" si="0"/>
        <v>46082</v>
      </c>
      <c r="V5" s="37">
        <f t="shared" si="0"/>
        <v>46083</v>
      </c>
      <c r="W5" s="38">
        <f t="shared" si="0"/>
        <v>46084</v>
      </c>
      <c r="X5" s="38">
        <f t="shared" si="0"/>
        <v>46085</v>
      </c>
      <c r="Y5" s="38">
        <f t="shared" si="0"/>
        <v>46086</v>
      </c>
      <c r="Z5" s="38">
        <f t="shared" si="0"/>
        <v>46087</v>
      </c>
      <c r="AA5" s="38">
        <f t="shared" si="0"/>
        <v>46088</v>
      </c>
      <c r="AB5" s="39">
        <f t="shared" si="0"/>
        <v>46089</v>
      </c>
      <c r="AC5" s="37">
        <f t="shared" si="0"/>
        <v>46090</v>
      </c>
      <c r="AD5" s="38">
        <f t="shared" si="0"/>
        <v>46091</v>
      </c>
      <c r="AE5" s="38">
        <f t="shared" si="0"/>
        <v>46092</v>
      </c>
      <c r="AF5" s="38">
        <f t="shared" si="0"/>
        <v>46093</v>
      </c>
      <c r="AG5" s="38">
        <f t="shared" si="0"/>
        <v>46094</v>
      </c>
      <c r="AH5" s="38">
        <f t="shared" si="0"/>
        <v>46095</v>
      </c>
      <c r="AI5" s="39">
        <f t="shared" si="0"/>
        <v>46096</v>
      </c>
      <c r="AJ5" s="37">
        <f t="shared" si="0"/>
        <v>46097</v>
      </c>
      <c r="AK5" s="38">
        <f t="shared" si="0"/>
        <v>46098</v>
      </c>
      <c r="AL5" s="38">
        <f t="shared" si="0"/>
        <v>46099</v>
      </c>
      <c r="AM5" s="38">
        <f t="shared" si="0"/>
        <v>46100</v>
      </c>
      <c r="AN5" s="38">
        <f t="shared" si="0"/>
        <v>46101</v>
      </c>
      <c r="AO5" s="38">
        <f t="shared" ref="AO5:BT5" si="1">AN5+1</f>
        <v>46102</v>
      </c>
      <c r="AP5" s="39">
        <f t="shared" si="1"/>
        <v>46103</v>
      </c>
      <c r="AQ5" s="37">
        <f t="shared" si="1"/>
        <v>46104</v>
      </c>
      <c r="AR5" s="38">
        <f t="shared" si="1"/>
        <v>46105</v>
      </c>
      <c r="AS5" s="38">
        <f t="shared" si="1"/>
        <v>46106</v>
      </c>
      <c r="AT5" s="38">
        <f t="shared" si="1"/>
        <v>46107</v>
      </c>
      <c r="AU5" s="38">
        <f t="shared" si="1"/>
        <v>46108</v>
      </c>
      <c r="AV5" s="38">
        <f t="shared" si="1"/>
        <v>46109</v>
      </c>
      <c r="AW5" s="39">
        <f t="shared" si="1"/>
        <v>46110</v>
      </c>
      <c r="AX5" s="37">
        <f t="shared" si="1"/>
        <v>46111</v>
      </c>
      <c r="AY5" s="38">
        <f t="shared" si="1"/>
        <v>46112</v>
      </c>
      <c r="AZ5" s="38">
        <f t="shared" si="1"/>
        <v>46113</v>
      </c>
      <c r="BA5" s="38">
        <f t="shared" si="1"/>
        <v>46114</v>
      </c>
      <c r="BB5" s="38">
        <f t="shared" si="1"/>
        <v>46115</v>
      </c>
      <c r="BC5" s="38">
        <f t="shared" si="1"/>
        <v>46116</v>
      </c>
      <c r="BD5" s="39">
        <f t="shared" si="1"/>
        <v>46117</v>
      </c>
      <c r="BE5" s="37">
        <f t="shared" si="1"/>
        <v>46118</v>
      </c>
      <c r="BF5" s="38">
        <f t="shared" si="1"/>
        <v>46119</v>
      </c>
      <c r="BG5" s="38">
        <f t="shared" si="1"/>
        <v>46120</v>
      </c>
      <c r="BH5" s="38">
        <f t="shared" si="1"/>
        <v>46121</v>
      </c>
      <c r="BI5" s="38">
        <f t="shared" si="1"/>
        <v>46122</v>
      </c>
      <c r="BJ5" s="38">
        <f t="shared" si="1"/>
        <v>46123</v>
      </c>
      <c r="BK5" s="39">
        <f t="shared" si="1"/>
        <v>46124</v>
      </c>
      <c r="BL5" s="38">
        <f t="shared" si="1"/>
        <v>46125</v>
      </c>
      <c r="BM5" s="38">
        <f t="shared" si="1"/>
        <v>46126</v>
      </c>
      <c r="BN5" s="38">
        <f t="shared" si="1"/>
        <v>46127</v>
      </c>
      <c r="BO5" s="38">
        <f t="shared" si="1"/>
        <v>46128</v>
      </c>
      <c r="BP5" s="38">
        <f t="shared" si="1"/>
        <v>46129</v>
      </c>
      <c r="BQ5" s="38">
        <f t="shared" si="1"/>
        <v>46130</v>
      </c>
      <c r="BR5" s="38">
        <f t="shared" si="1"/>
        <v>46131</v>
      </c>
      <c r="BS5" s="38">
        <f t="shared" si="1"/>
        <v>46132</v>
      </c>
      <c r="BT5" s="38">
        <f t="shared" si="1"/>
        <v>46133</v>
      </c>
      <c r="BU5" s="38">
        <f t="shared" ref="BU5:CT5" si="2">BT5+1</f>
        <v>46134</v>
      </c>
      <c r="BV5" s="38">
        <f t="shared" si="2"/>
        <v>46135</v>
      </c>
      <c r="BW5" s="38">
        <f t="shared" si="2"/>
        <v>46136</v>
      </c>
      <c r="BX5" s="38">
        <f t="shared" si="2"/>
        <v>46137</v>
      </c>
      <c r="BY5" s="38">
        <f t="shared" si="2"/>
        <v>46138</v>
      </c>
      <c r="BZ5" s="38">
        <f t="shared" si="2"/>
        <v>46139</v>
      </c>
      <c r="CA5" s="38">
        <f t="shared" si="2"/>
        <v>46140</v>
      </c>
      <c r="CB5" s="38">
        <f t="shared" si="2"/>
        <v>46141</v>
      </c>
      <c r="CC5" s="38">
        <f t="shared" si="2"/>
        <v>46142</v>
      </c>
      <c r="CD5" s="38">
        <f t="shared" si="2"/>
        <v>46143</v>
      </c>
      <c r="CE5" s="38">
        <f t="shared" si="2"/>
        <v>46144</v>
      </c>
      <c r="CF5" s="38">
        <f t="shared" si="2"/>
        <v>46145</v>
      </c>
      <c r="CG5" s="38">
        <f t="shared" si="2"/>
        <v>46146</v>
      </c>
      <c r="CH5" s="38">
        <f t="shared" si="2"/>
        <v>46147</v>
      </c>
      <c r="CI5" s="38">
        <f t="shared" si="2"/>
        <v>46148</v>
      </c>
      <c r="CJ5" s="38">
        <f t="shared" si="2"/>
        <v>46149</v>
      </c>
      <c r="CK5" s="38">
        <f t="shared" si="2"/>
        <v>46150</v>
      </c>
      <c r="CL5" s="38">
        <f t="shared" si="2"/>
        <v>46151</v>
      </c>
      <c r="CM5" s="38">
        <f t="shared" si="2"/>
        <v>46152</v>
      </c>
      <c r="CN5" s="38">
        <f t="shared" si="2"/>
        <v>46153</v>
      </c>
      <c r="CO5" s="38">
        <f t="shared" si="2"/>
        <v>46154</v>
      </c>
      <c r="CP5" s="38">
        <f t="shared" si="2"/>
        <v>46155</v>
      </c>
      <c r="CQ5" s="38">
        <f t="shared" si="2"/>
        <v>46156</v>
      </c>
      <c r="CR5" s="38">
        <f t="shared" si="2"/>
        <v>46157</v>
      </c>
      <c r="CS5" s="38">
        <f t="shared" si="2"/>
        <v>46158</v>
      </c>
      <c r="CT5" s="38">
        <f t="shared" si="2"/>
        <v>46159</v>
      </c>
    </row>
    <row r="6" spans="1:98" s="22" customFormat="1" ht="75" customHeight="1" thickBot="1" x14ac:dyDescent="0.45">
      <c r="A6" s="19" t="s">
        <v>10</v>
      </c>
      <c r="B6" s="35" t="s">
        <v>11</v>
      </c>
      <c r="C6" s="36" t="s">
        <v>12</v>
      </c>
      <c r="D6" s="36" t="s">
        <v>13</v>
      </c>
      <c r="E6" s="36" t="s">
        <v>14</v>
      </c>
      <c r="F6" s="36" t="s">
        <v>15</v>
      </c>
      <c r="G6" s="20" t="s">
        <v>16</v>
      </c>
      <c r="H6" s="21" t="str">
        <f t="shared" ref="H6:AM6" si="3">LEFT(TEXT(H5,"ddd"),1)</f>
        <v>s</v>
      </c>
      <c r="I6" s="21" t="str">
        <f t="shared" si="3"/>
        <v>t</v>
      </c>
      <c r="J6" s="21" t="str">
        <f t="shared" si="3"/>
        <v>q</v>
      </c>
      <c r="K6" s="21" t="str">
        <f t="shared" si="3"/>
        <v>q</v>
      </c>
      <c r="L6" s="21" t="str">
        <f t="shared" si="3"/>
        <v>s</v>
      </c>
      <c r="M6" s="21" t="str">
        <f t="shared" si="3"/>
        <v>s</v>
      </c>
      <c r="N6" s="21" t="str">
        <f t="shared" si="3"/>
        <v>d</v>
      </c>
      <c r="O6" s="21" t="str">
        <f t="shared" si="3"/>
        <v>s</v>
      </c>
      <c r="P6" s="21" t="str">
        <f t="shared" si="3"/>
        <v>t</v>
      </c>
      <c r="Q6" s="21" t="str">
        <f t="shared" si="3"/>
        <v>q</v>
      </c>
      <c r="R6" s="21" t="str">
        <f t="shared" si="3"/>
        <v>q</v>
      </c>
      <c r="S6" s="21" t="str">
        <f t="shared" si="3"/>
        <v>s</v>
      </c>
      <c r="T6" s="21" t="str">
        <f t="shared" si="3"/>
        <v>s</v>
      </c>
      <c r="U6" s="21" t="str">
        <f t="shared" si="3"/>
        <v>d</v>
      </c>
      <c r="V6" s="21" t="str">
        <f t="shared" si="3"/>
        <v>s</v>
      </c>
      <c r="W6" s="21" t="str">
        <f t="shared" si="3"/>
        <v>t</v>
      </c>
      <c r="X6" s="21" t="str">
        <f t="shared" si="3"/>
        <v>q</v>
      </c>
      <c r="Y6" s="21" t="str">
        <f t="shared" si="3"/>
        <v>q</v>
      </c>
      <c r="Z6" s="21" t="str">
        <f t="shared" si="3"/>
        <v>s</v>
      </c>
      <c r="AA6" s="21" t="str">
        <f t="shared" si="3"/>
        <v>s</v>
      </c>
      <c r="AB6" s="21" t="str">
        <f t="shared" si="3"/>
        <v>d</v>
      </c>
      <c r="AC6" s="21" t="str">
        <f t="shared" si="3"/>
        <v>s</v>
      </c>
      <c r="AD6" s="21" t="str">
        <f t="shared" si="3"/>
        <v>t</v>
      </c>
      <c r="AE6" s="21" t="str">
        <f t="shared" si="3"/>
        <v>q</v>
      </c>
      <c r="AF6" s="21" t="str">
        <f t="shared" si="3"/>
        <v>q</v>
      </c>
      <c r="AG6" s="21" t="str">
        <f t="shared" si="3"/>
        <v>s</v>
      </c>
      <c r="AH6" s="21" t="str">
        <f t="shared" si="3"/>
        <v>s</v>
      </c>
      <c r="AI6" s="21" t="str">
        <f t="shared" si="3"/>
        <v>d</v>
      </c>
      <c r="AJ6" s="21" t="str">
        <f t="shared" si="3"/>
        <v>s</v>
      </c>
      <c r="AK6" s="21" t="str">
        <f t="shared" si="3"/>
        <v>t</v>
      </c>
      <c r="AL6" s="21" t="str">
        <f t="shared" si="3"/>
        <v>q</v>
      </c>
      <c r="AM6" s="21" t="str">
        <f t="shared" si="3"/>
        <v>q</v>
      </c>
      <c r="AN6" s="21" t="str">
        <f t="shared" ref="AN6:BS6" si="4">LEFT(TEXT(AN5,"ddd"),1)</f>
        <v>s</v>
      </c>
      <c r="AO6" s="21" t="str">
        <f t="shared" si="4"/>
        <v>s</v>
      </c>
      <c r="AP6" s="21" t="str">
        <f t="shared" si="4"/>
        <v>d</v>
      </c>
      <c r="AQ6" s="21" t="str">
        <f t="shared" si="4"/>
        <v>s</v>
      </c>
      <c r="AR6" s="21" t="str">
        <f t="shared" si="4"/>
        <v>t</v>
      </c>
      <c r="AS6" s="21" t="str">
        <f t="shared" si="4"/>
        <v>q</v>
      </c>
      <c r="AT6" s="21" t="str">
        <f t="shared" si="4"/>
        <v>q</v>
      </c>
      <c r="AU6" s="21" t="str">
        <f t="shared" si="4"/>
        <v>s</v>
      </c>
      <c r="AV6" s="21" t="str">
        <f t="shared" si="4"/>
        <v>s</v>
      </c>
      <c r="AW6" s="21" t="str">
        <f t="shared" si="4"/>
        <v>d</v>
      </c>
      <c r="AX6" s="21" t="str">
        <f t="shared" si="4"/>
        <v>s</v>
      </c>
      <c r="AY6" s="21" t="str">
        <f t="shared" si="4"/>
        <v>t</v>
      </c>
      <c r="AZ6" s="21" t="str">
        <f t="shared" si="4"/>
        <v>q</v>
      </c>
      <c r="BA6" s="21" t="str">
        <f t="shared" si="4"/>
        <v>q</v>
      </c>
      <c r="BB6" s="21" t="str">
        <f t="shared" si="4"/>
        <v>s</v>
      </c>
      <c r="BC6" s="21" t="str">
        <f t="shared" si="4"/>
        <v>s</v>
      </c>
      <c r="BD6" s="21" t="str">
        <f t="shared" si="4"/>
        <v>d</v>
      </c>
      <c r="BE6" s="21" t="str">
        <f t="shared" si="4"/>
        <v>s</v>
      </c>
      <c r="BF6" s="21" t="str">
        <f t="shared" si="4"/>
        <v>t</v>
      </c>
      <c r="BG6" s="21" t="str">
        <f t="shared" si="4"/>
        <v>q</v>
      </c>
      <c r="BH6" s="21" t="str">
        <f t="shared" si="4"/>
        <v>q</v>
      </c>
      <c r="BI6" s="21" t="str">
        <f t="shared" si="4"/>
        <v>s</v>
      </c>
      <c r="BJ6" s="21" t="str">
        <f t="shared" si="4"/>
        <v>s</v>
      </c>
      <c r="BK6" s="21" t="str">
        <f t="shared" si="4"/>
        <v>d</v>
      </c>
      <c r="BL6" s="21" t="str">
        <f t="shared" si="4"/>
        <v>s</v>
      </c>
      <c r="BM6" s="21" t="str">
        <f t="shared" si="4"/>
        <v>t</v>
      </c>
      <c r="BN6" s="21" t="str">
        <f t="shared" si="4"/>
        <v>q</v>
      </c>
      <c r="BO6" s="21" t="str">
        <f t="shared" si="4"/>
        <v>q</v>
      </c>
      <c r="BP6" s="21" t="str">
        <f t="shared" si="4"/>
        <v>s</v>
      </c>
      <c r="BQ6" s="21" t="str">
        <f t="shared" si="4"/>
        <v>s</v>
      </c>
      <c r="BR6" s="21" t="str">
        <f t="shared" si="4"/>
        <v>d</v>
      </c>
      <c r="BS6" s="21" t="str">
        <f t="shared" si="4"/>
        <v>s</v>
      </c>
      <c r="BT6" s="21" t="str">
        <f t="shared" ref="BT6:CT6" si="5">LEFT(TEXT(BT5,"ddd"),1)</f>
        <v>t</v>
      </c>
      <c r="BU6" s="21" t="str">
        <f t="shared" si="5"/>
        <v>q</v>
      </c>
      <c r="BV6" s="21" t="str">
        <f t="shared" si="5"/>
        <v>q</v>
      </c>
      <c r="BW6" s="21" t="str">
        <f t="shared" si="5"/>
        <v>s</v>
      </c>
      <c r="BX6" s="21" t="str">
        <f t="shared" si="5"/>
        <v>s</v>
      </c>
      <c r="BY6" s="21" t="str">
        <f t="shared" si="5"/>
        <v>d</v>
      </c>
      <c r="BZ6" s="21" t="str">
        <f t="shared" si="5"/>
        <v>s</v>
      </c>
      <c r="CA6" s="21" t="str">
        <f t="shared" si="5"/>
        <v>t</v>
      </c>
      <c r="CB6" s="21" t="str">
        <f t="shared" si="5"/>
        <v>q</v>
      </c>
      <c r="CC6" s="21" t="str">
        <f t="shared" si="5"/>
        <v>q</v>
      </c>
      <c r="CD6" s="21" t="str">
        <f t="shared" si="5"/>
        <v>s</v>
      </c>
      <c r="CE6" s="21" t="str">
        <f t="shared" si="5"/>
        <v>s</v>
      </c>
      <c r="CF6" s="21" t="str">
        <f t="shared" si="5"/>
        <v>d</v>
      </c>
      <c r="CG6" s="21" t="str">
        <f t="shared" si="5"/>
        <v>s</v>
      </c>
      <c r="CH6" s="21" t="str">
        <f t="shared" si="5"/>
        <v>t</v>
      </c>
      <c r="CI6" s="21" t="str">
        <f t="shared" si="5"/>
        <v>q</v>
      </c>
      <c r="CJ6" s="21" t="str">
        <f t="shared" si="5"/>
        <v>q</v>
      </c>
      <c r="CK6" s="21" t="str">
        <f t="shared" si="5"/>
        <v>s</v>
      </c>
      <c r="CL6" s="21" t="str">
        <f t="shared" si="5"/>
        <v>s</v>
      </c>
      <c r="CM6" s="21" t="str">
        <f t="shared" si="5"/>
        <v>d</v>
      </c>
      <c r="CN6" s="21" t="str">
        <f t="shared" si="5"/>
        <v>s</v>
      </c>
      <c r="CO6" s="21" t="str">
        <f t="shared" si="5"/>
        <v>t</v>
      </c>
      <c r="CP6" s="21" t="str">
        <f t="shared" si="5"/>
        <v>q</v>
      </c>
      <c r="CQ6" s="21" t="str">
        <f t="shared" si="5"/>
        <v>q</v>
      </c>
      <c r="CR6" s="21" t="str">
        <f t="shared" si="5"/>
        <v>s</v>
      </c>
      <c r="CS6" s="21" t="str">
        <f t="shared" si="5"/>
        <v>s</v>
      </c>
      <c r="CT6" s="21" t="str">
        <f t="shared" si="5"/>
        <v>d</v>
      </c>
    </row>
    <row r="7" spans="1:98" ht="30" hidden="1" customHeight="1" thickBot="1" x14ac:dyDescent="0.35">
      <c r="A7" s="9" t="s">
        <v>17</v>
      </c>
      <c r="C7" s="11"/>
      <c r="G7" t="str">
        <f t="shared" ref="G7:G33" si="6">IF(OR(ISBLANK(Início_da_tarefa),ISBLANK(Término_da_tarefa)),"",Término_da_tarefa-Início_da_tarefa+1)</f>
        <v/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98" s="3" customFormat="1" ht="75" customHeight="1" thickBot="1" x14ac:dyDescent="0.35">
      <c r="A8" s="10"/>
      <c r="B8" s="44" t="s">
        <v>45</v>
      </c>
      <c r="C8" s="52"/>
      <c r="D8" s="26">
        <v>1</v>
      </c>
      <c r="E8" s="60">
        <v>46068</v>
      </c>
      <c r="F8" s="61">
        <v>46082</v>
      </c>
      <c r="G8" s="6">
        <f t="shared" si="6"/>
        <v>15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</row>
    <row r="9" spans="1:98" s="3" customFormat="1" ht="87" customHeight="1" thickBot="1" x14ac:dyDescent="0.35">
      <c r="A9" s="10"/>
      <c r="B9" s="45" t="s">
        <v>18</v>
      </c>
      <c r="C9" s="53" t="s">
        <v>19</v>
      </c>
      <c r="D9" s="26">
        <v>1</v>
      </c>
      <c r="E9" s="62">
        <v>46068</v>
      </c>
      <c r="F9" s="62">
        <v>46072</v>
      </c>
      <c r="G9" s="6">
        <f t="shared" si="6"/>
        <v>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</row>
    <row r="10" spans="1:98" s="3" customFormat="1" ht="93" customHeight="1" thickBot="1" x14ac:dyDescent="0.35">
      <c r="A10" s="10"/>
      <c r="B10" s="45" t="s">
        <v>20</v>
      </c>
      <c r="C10" s="53" t="s">
        <v>21</v>
      </c>
      <c r="D10" s="27">
        <v>1</v>
      </c>
      <c r="E10" s="62">
        <v>46072</v>
      </c>
      <c r="F10" s="62">
        <v>46076</v>
      </c>
      <c r="G10" s="6">
        <f t="shared" si="6"/>
        <v>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</row>
    <row r="11" spans="1:98" s="3" customFormat="1" ht="70.8" customHeight="1" thickBot="1" x14ac:dyDescent="0.35">
      <c r="A11" s="9"/>
      <c r="B11" s="45" t="s">
        <v>22</v>
      </c>
      <c r="C11" s="53" t="s">
        <v>23</v>
      </c>
      <c r="D11" s="27">
        <v>1</v>
      </c>
      <c r="E11" s="62">
        <v>46076</v>
      </c>
      <c r="F11" s="62">
        <v>46080</v>
      </c>
      <c r="G11" s="6">
        <f t="shared" si="6"/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</row>
    <row r="12" spans="1:98" s="3" customFormat="1" ht="64.8" customHeight="1" thickBot="1" x14ac:dyDescent="0.35">
      <c r="A12" s="9"/>
      <c r="B12" s="45" t="s">
        <v>24</v>
      </c>
      <c r="C12" s="53" t="s">
        <v>25</v>
      </c>
      <c r="D12" s="27">
        <v>1</v>
      </c>
      <c r="E12" s="62">
        <v>46081</v>
      </c>
      <c r="F12" s="62">
        <v>46082</v>
      </c>
      <c r="G12" s="6">
        <f t="shared" si="6"/>
        <v>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</row>
    <row r="13" spans="1:98" s="3" customFormat="1" ht="76.2" customHeight="1" thickBot="1" x14ac:dyDescent="0.35">
      <c r="A13" s="10"/>
      <c r="B13" s="46" t="s">
        <v>46</v>
      </c>
      <c r="C13" s="54"/>
      <c r="D13" s="28">
        <v>0.9</v>
      </c>
      <c r="E13" s="63">
        <v>46083</v>
      </c>
      <c r="F13" s="64">
        <v>46110</v>
      </c>
      <c r="G13" s="6">
        <f t="shared" si="6"/>
        <v>28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</row>
    <row r="14" spans="1:98" s="3" customFormat="1" ht="87.6" customHeight="1" thickBot="1" x14ac:dyDescent="0.35">
      <c r="A14" s="9"/>
      <c r="B14" s="47" t="s">
        <v>44</v>
      </c>
      <c r="C14" s="55" t="s">
        <v>23</v>
      </c>
      <c r="D14" s="29">
        <v>1</v>
      </c>
      <c r="E14" s="65">
        <v>46083</v>
      </c>
      <c r="F14" s="65">
        <v>46089</v>
      </c>
      <c r="G14" s="6">
        <f t="shared" si="6"/>
        <v>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</row>
    <row r="15" spans="1:98" s="3" customFormat="1" ht="91.8" customHeight="1" thickBot="1" x14ac:dyDescent="0.35">
      <c r="A15" s="9"/>
      <c r="B15" s="47" t="s">
        <v>26</v>
      </c>
      <c r="C15" s="55" t="s">
        <v>21</v>
      </c>
      <c r="D15" s="29">
        <v>1</v>
      </c>
      <c r="E15" s="65">
        <v>46083</v>
      </c>
      <c r="F15" s="65">
        <v>46089</v>
      </c>
      <c r="G15" s="6">
        <f t="shared" si="6"/>
        <v>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</row>
    <row r="16" spans="1:98" s="3" customFormat="1" ht="93.6" customHeight="1" thickBot="1" x14ac:dyDescent="0.35">
      <c r="A16" s="9"/>
      <c r="B16" s="47" t="s">
        <v>27</v>
      </c>
      <c r="C16" s="55" t="s">
        <v>19</v>
      </c>
      <c r="D16" s="29">
        <v>1</v>
      </c>
      <c r="E16" s="65">
        <v>46089</v>
      </c>
      <c r="F16" s="65">
        <v>46096</v>
      </c>
      <c r="G16" s="6">
        <f t="shared" si="6"/>
        <v>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</row>
    <row r="17" spans="1:98" s="3" customFormat="1" ht="81.599999999999994" customHeight="1" thickBot="1" x14ac:dyDescent="0.35">
      <c r="A17" s="9"/>
      <c r="B17" s="47" t="s">
        <v>28</v>
      </c>
      <c r="C17" s="55" t="s">
        <v>25</v>
      </c>
      <c r="D17" s="29">
        <v>1</v>
      </c>
      <c r="E17" s="65">
        <v>46096</v>
      </c>
      <c r="F17" s="65">
        <v>46102</v>
      </c>
      <c r="G17" s="6">
        <f t="shared" si="6"/>
        <v>7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</row>
    <row r="18" spans="1:98" s="3" customFormat="1" ht="69.599999999999994" customHeight="1" thickBot="1" x14ac:dyDescent="0.35">
      <c r="A18" s="9"/>
      <c r="B18" s="47" t="s">
        <v>29</v>
      </c>
      <c r="C18" s="55" t="s">
        <v>19</v>
      </c>
      <c r="D18" s="29">
        <v>0.9</v>
      </c>
      <c r="E18" s="65">
        <v>46102</v>
      </c>
      <c r="F18" s="65">
        <v>46110</v>
      </c>
      <c r="G18" s="6">
        <f t="shared" si="6"/>
        <v>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</row>
    <row r="19" spans="1:98" s="3" customFormat="1" ht="73.2" customHeight="1" thickBot="1" x14ac:dyDescent="0.35">
      <c r="A19" s="10"/>
      <c r="B19" s="48" t="s">
        <v>48</v>
      </c>
      <c r="C19" s="56"/>
      <c r="D19" s="30">
        <v>0</v>
      </c>
      <c r="E19" s="66">
        <v>46104</v>
      </c>
      <c r="F19" s="67">
        <v>46138</v>
      </c>
      <c r="G19" s="6">
        <f t="shared" si="6"/>
        <v>35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</row>
    <row r="20" spans="1:98" s="3" customFormat="1" ht="88.2" customHeight="1" thickBot="1" x14ac:dyDescent="0.35">
      <c r="A20" s="9"/>
      <c r="B20" s="49" t="s">
        <v>30</v>
      </c>
      <c r="C20" s="57" t="s">
        <v>25</v>
      </c>
      <c r="D20" s="31">
        <v>0</v>
      </c>
      <c r="E20" s="68">
        <v>46115</v>
      </c>
      <c r="F20" s="68">
        <v>46121</v>
      </c>
      <c r="G20" s="6">
        <f t="shared" si="6"/>
        <v>7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</row>
    <row r="21" spans="1:98" s="3" customFormat="1" ht="75.599999999999994" customHeight="1" thickBot="1" x14ac:dyDescent="0.35">
      <c r="A21" s="9"/>
      <c r="B21" s="49" t="s">
        <v>31</v>
      </c>
      <c r="C21" s="57" t="s">
        <v>25</v>
      </c>
      <c r="D21" s="31">
        <v>0</v>
      </c>
      <c r="E21" s="68">
        <v>46115</v>
      </c>
      <c r="F21" s="68">
        <v>46120</v>
      </c>
      <c r="G21" s="6">
        <f t="shared" si="6"/>
        <v>6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</row>
    <row r="22" spans="1:98" s="3" customFormat="1" ht="85.2" customHeight="1" thickBot="1" x14ac:dyDescent="0.35">
      <c r="A22" s="9"/>
      <c r="B22" s="49" t="s">
        <v>32</v>
      </c>
      <c r="C22" s="57" t="s">
        <v>23</v>
      </c>
      <c r="D22" s="31">
        <v>0</v>
      </c>
      <c r="E22" s="68">
        <v>46115</v>
      </c>
      <c r="F22" s="68">
        <v>46122</v>
      </c>
      <c r="G22" s="6">
        <f t="shared" si="6"/>
        <v>8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</row>
    <row r="23" spans="1:98" s="3" customFormat="1" ht="82.2" customHeight="1" thickBot="1" x14ac:dyDescent="0.35">
      <c r="A23" s="9"/>
      <c r="B23" s="49" t="s">
        <v>33</v>
      </c>
      <c r="C23" s="57" t="s">
        <v>21</v>
      </c>
      <c r="D23" s="31">
        <v>0</v>
      </c>
      <c r="E23" s="68">
        <v>46115</v>
      </c>
      <c r="F23" s="68">
        <v>46122</v>
      </c>
      <c r="G23" s="6">
        <f t="shared" si="6"/>
        <v>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</row>
    <row r="24" spans="1:98" s="3" customFormat="1" ht="72.599999999999994" customHeight="1" thickBot="1" x14ac:dyDescent="0.35">
      <c r="A24" s="9"/>
      <c r="B24" s="49" t="s">
        <v>34</v>
      </c>
      <c r="C24" s="57" t="s">
        <v>23</v>
      </c>
      <c r="D24" s="31">
        <v>0</v>
      </c>
      <c r="E24" s="68">
        <v>46122</v>
      </c>
      <c r="F24" s="68">
        <v>46130</v>
      </c>
      <c r="G24" s="6">
        <f t="shared" si="6"/>
        <v>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</row>
    <row r="25" spans="1:98" s="3" customFormat="1" ht="64.2" customHeight="1" thickBot="1" x14ac:dyDescent="0.35">
      <c r="A25" s="9"/>
      <c r="B25" s="49" t="s">
        <v>35</v>
      </c>
      <c r="C25" s="57" t="s">
        <v>19</v>
      </c>
      <c r="D25" s="31">
        <v>0</v>
      </c>
      <c r="E25" s="68">
        <v>46122</v>
      </c>
      <c r="F25" s="68">
        <v>46130</v>
      </c>
      <c r="G25" s="6">
        <f t="shared" si="6"/>
        <v>9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</row>
    <row r="26" spans="1:98" s="3" customFormat="1" ht="75.599999999999994" customHeight="1" thickBot="1" x14ac:dyDescent="0.35">
      <c r="A26" s="9"/>
      <c r="B26" s="49" t="s">
        <v>36</v>
      </c>
      <c r="C26" s="57" t="s">
        <v>25</v>
      </c>
      <c r="D26" s="31">
        <v>0</v>
      </c>
      <c r="E26" s="68">
        <v>46130</v>
      </c>
      <c r="F26" s="68">
        <v>46137</v>
      </c>
      <c r="G26" s="6">
        <f t="shared" si="6"/>
        <v>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</row>
    <row r="27" spans="1:98" s="3" customFormat="1" ht="71.400000000000006" customHeight="1" thickBot="1" x14ac:dyDescent="0.35">
      <c r="A27" s="10"/>
      <c r="B27" s="50" t="s">
        <v>49</v>
      </c>
      <c r="C27" s="58" t="s">
        <v>19</v>
      </c>
      <c r="D27" s="32">
        <v>0</v>
      </c>
      <c r="E27" s="69">
        <v>46137</v>
      </c>
      <c r="F27" s="70">
        <v>46138</v>
      </c>
      <c r="G27" s="6">
        <f t="shared" si="6"/>
        <v>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</row>
    <row r="28" spans="1:98" s="3" customFormat="1" ht="80.400000000000006" customHeight="1" thickBot="1" x14ac:dyDescent="0.35">
      <c r="A28" s="9"/>
      <c r="B28" s="51" t="s">
        <v>37</v>
      </c>
      <c r="C28" s="59" t="s">
        <v>25</v>
      </c>
      <c r="D28" s="33">
        <v>0</v>
      </c>
      <c r="E28" s="71">
        <v>46139</v>
      </c>
      <c r="F28" s="71">
        <v>46159</v>
      </c>
      <c r="G28" s="6">
        <f t="shared" si="6"/>
        <v>21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</row>
    <row r="29" spans="1:98" s="3" customFormat="1" ht="72.599999999999994" customHeight="1" thickBot="1" x14ac:dyDescent="0.35">
      <c r="A29" s="9"/>
      <c r="B29" s="51" t="s">
        <v>38</v>
      </c>
      <c r="C29" s="59" t="s">
        <v>25</v>
      </c>
      <c r="D29" s="33">
        <v>0</v>
      </c>
      <c r="E29" s="71">
        <v>46139</v>
      </c>
      <c r="F29" s="71">
        <v>46144</v>
      </c>
      <c r="G29" s="6">
        <f t="shared" si="6"/>
        <v>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</row>
    <row r="30" spans="1:98" s="3" customFormat="1" ht="75.599999999999994" customHeight="1" thickBot="1" x14ac:dyDescent="0.35">
      <c r="A30" s="9"/>
      <c r="B30" s="51" t="s">
        <v>39</v>
      </c>
      <c r="C30" s="59" t="s">
        <v>25</v>
      </c>
      <c r="D30" s="33">
        <v>0</v>
      </c>
      <c r="E30" s="71">
        <v>46139</v>
      </c>
      <c r="F30" s="71">
        <v>46145</v>
      </c>
      <c r="G30" s="6">
        <f t="shared" si="6"/>
        <v>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</row>
    <row r="31" spans="1:98" s="3" customFormat="1" ht="61.8" customHeight="1" thickBot="1" x14ac:dyDescent="0.35">
      <c r="A31" s="9"/>
      <c r="B31" s="51" t="s">
        <v>47</v>
      </c>
      <c r="C31" s="59" t="s">
        <v>21</v>
      </c>
      <c r="D31" s="33">
        <v>0</v>
      </c>
      <c r="E31" s="71">
        <v>46145</v>
      </c>
      <c r="F31" s="71">
        <v>46150</v>
      </c>
      <c r="G31" s="6">
        <f t="shared" si="6"/>
        <v>6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</row>
    <row r="32" spans="1:98" s="3" customFormat="1" ht="67.2" customHeight="1" thickBot="1" x14ac:dyDescent="0.35">
      <c r="A32" s="9"/>
      <c r="B32" s="51" t="s">
        <v>40</v>
      </c>
      <c r="C32" s="59" t="s">
        <v>25</v>
      </c>
      <c r="D32" s="33">
        <v>0</v>
      </c>
      <c r="E32" s="71">
        <v>46150</v>
      </c>
      <c r="F32" s="71">
        <v>46157</v>
      </c>
      <c r="G32" s="6">
        <f t="shared" si="6"/>
        <v>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</row>
    <row r="33" spans="1:98" s="3" customFormat="1" ht="65.400000000000006" customHeight="1" thickBot="1" x14ac:dyDescent="0.35">
      <c r="A33" s="9"/>
      <c r="B33" s="51" t="s">
        <v>41</v>
      </c>
      <c r="C33" s="59" t="s">
        <v>23</v>
      </c>
      <c r="D33" s="33">
        <v>0</v>
      </c>
      <c r="E33" s="71">
        <v>46150</v>
      </c>
      <c r="F33" s="71">
        <v>46156</v>
      </c>
      <c r="G33" s="6">
        <f t="shared" si="6"/>
        <v>7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</row>
    <row r="34" spans="1:98" ht="73.2" customHeight="1" thickBot="1" x14ac:dyDescent="0.35">
      <c r="B34" s="51" t="s">
        <v>42</v>
      </c>
      <c r="C34" s="59" t="s">
        <v>19</v>
      </c>
      <c r="D34" s="33">
        <v>0</v>
      </c>
      <c r="E34" s="71">
        <v>46157</v>
      </c>
      <c r="F34" s="71">
        <v>46159</v>
      </c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</row>
    <row r="35" spans="1:98" ht="38.4" x14ac:dyDescent="0.7">
      <c r="C35" s="34"/>
      <c r="E35" s="17"/>
      <c r="F35" s="18"/>
    </row>
    <row r="36" spans="1:98" ht="25.8" x14ac:dyDescent="0.5">
      <c r="C36" s="23"/>
      <c r="E36" s="17"/>
      <c r="F36" s="18"/>
    </row>
    <row r="37" spans="1:98" ht="14.4" x14ac:dyDescent="0.3"/>
    <row r="38" spans="1:98" ht="14.4" x14ac:dyDescent="0.3"/>
    <row r="39" spans="1:98" ht="14.4" x14ac:dyDescent="0.3"/>
    <row r="40" spans="1:98" ht="14.4" x14ac:dyDescent="0.3"/>
  </sheetData>
  <mergeCells count="16">
    <mergeCell ref="C3:D3"/>
    <mergeCell ref="BL4:BR4"/>
    <mergeCell ref="E3:F3"/>
    <mergeCell ref="C4:D4"/>
    <mergeCell ref="CN4:CT4"/>
    <mergeCell ref="H4:N4"/>
    <mergeCell ref="AX4:BD4"/>
    <mergeCell ref="BS4:BY4"/>
    <mergeCell ref="CG4:CM4"/>
    <mergeCell ref="BE4:BK4"/>
    <mergeCell ref="BZ4:CF4"/>
    <mergeCell ref="AJ4:AP4"/>
    <mergeCell ref="V4:AB4"/>
    <mergeCell ref="AC4:AI4"/>
    <mergeCell ref="AQ4:AW4"/>
    <mergeCell ref="O4:U4"/>
  </mergeCells>
  <conditionalFormatting sqref="D7:D34">
    <cfRule type="dataBar" priority="17">
      <dataBar>
        <cfvo type="num" val="0"/>
        <cfvo type="num" val="1"/>
        <color theme="0" tint="-0.249977111117893"/>
      </dataBar>
    </cfRule>
  </conditionalFormatting>
  <conditionalFormatting sqref="H5:CT34">
    <cfRule type="expression" dxfId="2" priority="3">
      <formula>AND(TODAY()&gt;=H$5,TODAY()&lt;I$5)</formula>
    </cfRule>
  </conditionalFormatting>
  <conditionalFormatting sqref="H7:CT34">
    <cfRule type="expression" dxfId="1" priority="1">
      <formula>AND(Início_da_tarefa&lt;=H$5,ROUNDDOWN((Término_da_tarefa-Início_da_tarefa+1)*Progresso_da_tarefa,0)+Início_da_tarefa-1&gt;=H$5)</formula>
    </cfRule>
    <cfRule type="expression" dxfId="0" priority="2" stopIfTrue="1">
      <formula>AND(Término_da_tarefa&gt;=H$5,Início_da_tarefa&lt;I$5)</formula>
    </cfRule>
  </conditionalFormatting>
  <dataValidations count="1">
    <dataValidation type="whole" operator="greaterThanOrEqual" allowBlank="1" showInputMessage="1" promptTitle="Semana de exibição" prompt="Alterar esse número rola a exibição do Gráfico de Gantt." sqref="E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60" fitToHeight="0" orientation="landscape" r:id="rId1"/>
  <headerFooter differentFirst="1" scaleWithDoc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CronogramaDeProjeto</vt:lpstr>
      <vt:lpstr>CronogramaDeProjeto!Início_da_tarefa</vt:lpstr>
      <vt:lpstr>Início_do_projeto</vt:lpstr>
      <vt:lpstr>CronogramaDeProjeto!Progresso_da_tarefa</vt:lpstr>
      <vt:lpstr>Semana_de_exibição</vt:lpstr>
      <vt:lpstr>CronogramaDeProjeto!Término_da_tarefa</vt:lpstr>
      <vt:lpstr>CronogramaDeProjeto!Titulos_de_impressao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 VITORIA AQUINO NASCIMENTO</cp:lastModifiedBy>
  <dcterms:created xsi:type="dcterms:W3CDTF">2021-12-14T20:18:50Z</dcterms:created>
  <dcterms:modified xsi:type="dcterms:W3CDTF">2026-03-29T21:32:13Z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